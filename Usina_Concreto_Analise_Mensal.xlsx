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Mensai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/yyyy"/>
    <numFmt numFmtId="166" formatCode="R$ #,##0.00"/>
    <numFmt numFmtId="167" formatCode="0.0%"/>
    <numFmt numFmtId="168" formatCode="R$ #,##0"/>
    <numFmt numFmtId="169" formatCode="#,##0 &quot;m³&quot;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666666"/>
    </font>
    <font>
      <b val="1"/>
      <sz val="16"/>
    </font>
    <font>
      <b val="1"/>
      <color rgb="00FFFFFF"/>
      <sz val="14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3" borderId="0" pivotButton="0" quotePrefix="0" xfId="0"/>
    <xf numFmtId="168" fontId="4" fillId="0" borderId="0" pivotButton="0" quotePrefix="0" xfId="0"/>
    <xf numFmtId="169" fontId="4" fillId="0" borderId="0" pivotButton="0" quotePrefix="0" xfId="0"/>
    <xf numFmtId="167" fontId="4" fillId="0" borderId="0" pivotButton="0" quotePrefix="0" xfId="0"/>
    <xf numFmtId="0" fontId="5" fillId="2" borderId="0" pivotButton="0" quotePrefix="0" xfId="0"/>
    <xf numFmtId="168" fontId="0" fillId="0" borderId="0" pivotButton="0" quotePrefix="0" xfId="0"/>
    <xf numFmtId="3" fontId="0" fillId="0" borderId="0" pivotButton="0" quotePrefix="0" xfId="0"/>
    <xf numFmtId="0" fontId="6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Total por Mês</a:t>
            </a:r>
          </a:p>
        </rich>
      </tx>
    </title>
    <plotArea>
      <lineChart>
        <grouping val="standard"/>
        <ser>
          <idx val="0"/>
          <order val="0"/>
          <tx>
            <strRef>
              <f>'Dados_Mensais'!H1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'Dados_Mensais'!$A$2:$A$13</f>
            </numRef>
          </cat>
          <val>
            <numRef>
              <f>'Dados_Mensais'!$H$2:$H$13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 Vendido (m³)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'Dados_Mensais'!B1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'Dados_Mensais'!$A$2:$A$13</f>
            </numRef>
          </cat>
          <val>
            <numRef>
              <f>'Dados_Mensais'!$B$2:$B$13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7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DadosMensais" displayName="tbDadosMensais" ref="A1:O13" headerRowCount="1">
  <autoFilter ref="A1:O13"/>
  <tableColumns count="15">
    <tableColumn id="1" name="Mês"/>
    <tableColumn id="2" name="Volume Vendido (m³)"/>
    <tableColumn id="3" name="Pedidos"/>
    <tableColumn id="4" name="Preço Médio (R$/m³)"/>
    <tableColumn id="5" name="Receita Concreto (R$)"/>
    <tableColumn id="6" name="Receita Bombeamento (R$)"/>
    <tableColumn id="7" name="Receita Frete (R$)"/>
    <tableColumn id="8" name="Receita Total (R$)"/>
    <tableColumn id="9" name="Custo Operacional (R$)"/>
    <tableColumn id="10" name="Lucro Líquido (R$)"/>
    <tableColumn id="11" name="Margem Líquida (%)"/>
    <tableColumn id="12" name="Custo por m³ (R$)"/>
    <tableColumn id="13" name="Ticket Médio (R$)"/>
    <tableColumn id="14" name="Dias Trabalhados"/>
    <tableColumn id="15" name="Tempo Médio Espera (min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20" customWidth="1" min="4" max="4"/>
    <col width="22" customWidth="1" min="5" max="5"/>
    <col width="25" customWidth="1" min="6" max="6"/>
    <col width="20" customWidth="1" min="7" max="7"/>
    <col width="20" customWidth="1" min="8" max="8"/>
    <col width="24" customWidth="1" min="9" max="9"/>
    <col width="20" customWidth="1" min="10" max="10"/>
    <col width="20" customWidth="1" min="11" max="11"/>
    <col width="20" customWidth="1" min="12" max="12"/>
    <col width="20" customWidth="1" min="13" max="13"/>
    <col width="17" customWidth="1" min="14" max="14"/>
    <col width="25" customWidth="1" min="15" max="15"/>
  </cols>
  <sheetData>
    <row r="1">
      <c r="A1" s="1" t="inlineStr">
        <is>
          <t>Mês</t>
        </is>
      </c>
      <c r="B1" s="1" t="inlineStr">
        <is>
          <t>Volume Vendido (m³)</t>
        </is>
      </c>
      <c r="C1" s="1" t="inlineStr">
        <is>
          <t>Pedidos</t>
        </is>
      </c>
      <c r="D1" s="1" t="inlineStr">
        <is>
          <t>Preço Médio (R$/m³)</t>
        </is>
      </c>
      <c r="E1" s="1" t="inlineStr">
        <is>
          <t>Receita Concreto (R$)</t>
        </is>
      </c>
      <c r="F1" s="1" t="inlineStr">
        <is>
          <t>Receita Bombeamento (R$)</t>
        </is>
      </c>
      <c r="G1" s="1" t="inlineStr">
        <is>
          <t>Receita Frete (R$)</t>
        </is>
      </c>
      <c r="H1" s="1" t="inlineStr">
        <is>
          <t>Receita Total (R$)</t>
        </is>
      </c>
      <c r="I1" s="1" t="inlineStr">
        <is>
          <t>Custo Operacional (R$)</t>
        </is>
      </c>
      <c r="J1" s="1" t="inlineStr">
        <is>
          <t>Lucro Líquido (R$)</t>
        </is>
      </c>
      <c r="K1" s="1" t="inlineStr">
        <is>
          <t>Margem Líquida (%)</t>
        </is>
      </c>
      <c r="L1" s="1" t="inlineStr">
        <is>
          <t>Custo por m³ (R$)</t>
        </is>
      </c>
      <c r="M1" s="1" t="inlineStr">
        <is>
          <t>Ticket Médio (R$)</t>
        </is>
      </c>
      <c r="N1" s="1" t="inlineStr">
        <is>
          <t>Dias Trabalhados</t>
        </is>
      </c>
      <c r="O1" s="1" t="inlineStr">
        <is>
          <t>Tempo Médio Espera (min)</t>
        </is>
      </c>
    </row>
    <row r="2">
      <c r="A2" s="2" t="n">
        <v>46023</v>
      </c>
      <c r="B2" t="n">
        <v>1650</v>
      </c>
      <c r="C2" t="n">
        <v>188</v>
      </c>
      <c r="D2" s="3" t="n">
        <v>380</v>
      </c>
      <c r="E2" s="3" t="n">
        <v>627000</v>
      </c>
      <c r="F2" s="3" t="n">
        <v>53.08887422282181</v>
      </c>
      <c r="G2" s="3" t="n">
        <v>2077.411023706789</v>
      </c>
      <c r="H2" s="3" t="n">
        <v>629130.4998979296</v>
      </c>
      <c r="I2" s="3" t="n">
        <v>475667.6850909499</v>
      </c>
      <c r="J2" s="3" t="n">
        <v>153462.8148069797</v>
      </c>
      <c r="K2" s="4" t="n">
        <v>0.243928429525953</v>
      </c>
      <c r="L2" s="3" t="n">
        <v>288.2834455096666</v>
      </c>
      <c r="M2" s="3" t="n">
        <v>3346.438829244306</v>
      </c>
      <c r="N2" t="n">
        <v>25</v>
      </c>
      <c r="O2" t="n">
        <v>30</v>
      </c>
    </row>
    <row r="3">
      <c r="A3" s="2" t="n">
        <v>46054</v>
      </c>
      <c r="B3" t="n">
        <v>1720</v>
      </c>
      <c r="C3" t="n">
        <v>195</v>
      </c>
      <c r="D3" s="3" t="n">
        <v>382</v>
      </c>
      <c r="E3" s="3" t="n">
        <v>657040</v>
      </c>
      <c r="F3" s="3" t="n">
        <v>65.78184199516635</v>
      </c>
      <c r="G3" s="3" t="n">
        <v>2081.406144725472</v>
      </c>
      <c r="H3" s="3" t="n">
        <v>659187.1879867207</v>
      </c>
      <c r="I3" s="3" t="n">
        <v>493153.1804950984</v>
      </c>
      <c r="J3" s="3" t="n">
        <v>166034.0074916223</v>
      </c>
      <c r="K3" s="4" t="n">
        <v>0.2518768727874108</v>
      </c>
      <c r="L3" s="3" t="n">
        <v>286.716965404127</v>
      </c>
      <c r="M3" s="3" t="n">
        <v>3380.447117880619</v>
      </c>
      <c r="N3" t="n">
        <v>24</v>
      </c>
      <c r="O3" t="n">
        <v>27</v>
      </c>
    </row>
    <row r="4">
      <c r="A4" s="2" t="n">
        <v>46082</v>
      </c>
      <c r="B4" t="n">
        <v>1810</v>
      </c>
      <c r="C4" t="n">
        <v>223</v>
      </c>
      <c r="D4" s="3" t="n">
        <v>385</v>
      </c>
      <c r="E4" s="3" t="n">
        <v>696850</v>
      </c>
      <c r="F4" s="3" t="n">
        <v>60.86781351926068</v>
      </c>
      <c r="G4" s="3" t="n">
        <v>2610.000353156291</v>
      </c>
      <c r="H4" s="3" t="n">
        <v>699520.8681666756</v>
      </c>
      <c r="I4" s="3" t="n">
        <v>519429.3588002637</v>
      </c>
      <c r="J4" s="3" t="n">
        <v>180091.5093664119</v>
      </c>
      <c r="K4" s="4" t="n">
        <v>0.2574498025175445</v>
      </c>
      <c r="L4" s="3" t="n">
        <v>286.9775462984882</v>
      </c>
      <c r="M4" s="3" t="n">
        <v>3136.864879671191</v>
      </c>
      <c r="N4" t="n">
        <v>26</v>
      </c>
      <c r="O4" t="n">
        <v>40</v>
      </c>
    </row>
    <row r="5">
      <c r="A5" s="2" t="n">
        <v>46113</v>
      </c>
      <c r="B5" t="n">
        <v>1760</v>
      </c>
      <c r="C5" t="n">
        <v>213</v>
      </c>
      <c r="D5" s="3" t="n">
        <v>384</v>
      </c>
      <c r="E5" s="3" t="n">
        <v>675840</v>
      </c>
      <c r="F5" s="3" t="n">
        <v>63.5797532253512</v>
      </c>
      <c r="G5" s="3" t="n">
        <v>2581.317374544754</v>
      </c>
      <c r="H5" s="3" t="n">
        <v>678484.8971277701</v>
      </c>
      <c r="I5" s="3" t="n">
        <v>518864.5738910791</v>
      </c>
      <c r="J5" s="3" t="n">
        <v>159620.3232366911</v>
      </c>
      <c r="K5" s="4" t="n">
        <v>0.2352599503871224</v>
      </c>
      <c r="L5" s="3" t="n">
        <v>294.8094169835676</v>
      </c>
      <c r="M5" s="3" t="n">
        <v>3185.375103886245</v>
      </c>
      <c r="N5" t="n">
        <v>25</v>
      </c>
      <c r="O5" t="n">
        <v>32</v>
      </c>
    </row>
    <row r="6">
      <c r="A6" s="2" t="n">
        <v>46143</v>
      </c>
      <c r="B6" t="n">
        <v>1880</v>
      </c>
      <c r="C6" t="n">
        <v>213</v>
      </c>
      <c r="D6" s="3" t="n">
        <v>388</v>
      </c>
      <c r="E6" s="3" t="n">
        <v>729440</v>
      </c>
      <c r="F6" s="3" t="n">
        <v>64.63769679737676</v>
      </c>
      <c r="G6" s="3" t="n">
        <v>2302.734266919819</v>
      </c>
      <c r="H6" s="3" t="n">
        <v>731807.3719637172</v>
      </c>
      <c r="I6" s="3" t="n">
        <v>531812.8162410052</v>
      </c>
      <c r="J6" s="3" t="n">
        <v>199994.555722712</v>
      </c>
      <c r="K6" s="4" t="n">
        <v>0.2732885228882713</v>
      </c>
      <c r="L6" s="3" t="n">
        <v>282.8791575750028</v>
      </c>
      <c r="M6" s="3" t="n">
        <v>3435.715361332006</v>
      </c>
      <c r="N6" t="n">
        <v>26</v>
      </c>
      <c r="O6" t="n">
        <v>37</v>
      </c>
    </row>
    <row r="7">
      <c r="A7" s="2" t="n">
        <v>46174</v>
      </c>
      <c r="B7" t="n">
        <v>1950</v>
      </c>
      <c r="C7" t="n">
        <v>240</v>
      </c>
      <c r="D7" s="3" t="n">
        <v>390</v>
      </c>
      <c r="E7" s="3" t="n">
        <v>760500</v>
      </c>
      <c r="F7" s="3" t="n">
        <v>67.58600765369965</v>
      </c>
      <c r="G7" s="3" t="n">
        <v>2692.310102632622</v>
      </c>
      <c r="H7" s="3" t="n">
        <v>763259.8961102864</v>
      </c>
      <c r="I7" s="3" t="n">
        <v>573392.7161641356</v>
      </c>
      <c r="J7" s="3" t="n">
        <v>189867.1799461507</v>
      </c>
      <c r="K7" s="4" t="n">
        <v>0.2487582288991587</v>
      </c>
      <c r="L7" s="3" t="n">
        <v>294.0475467508388</v>
      </c>
      <c r="M7" s="3" t="n">
        <v>3180.249567126193</v>
      </c>
      <c r="N7" t="n">
        <v>25</v>
      </c>
      <c r="O7" t="n">
        <v>35</v>
      </c>
    </row>
    <row r="8">
      <c r="A8" s="2" t="n">
        <v>46204</v>
      </c>
      <c r="B8" t="n">
        <v>2020</v>
      </c>
      <c r="C8" t="n">
        <v>225</v>
      </c>
      <c r="D8" s="3" t="n">
        <v>392</v>
      </c>
      <c r="E8" s="3" t="n">
        <v>791840</v>
      </c>
      <c r="F8" s="3" t="n">
        <v>74.95840746385058</v>
      </c>
      <c r="G8" s="3" t="n">
        <v>2603.802641154616</v>
      </c>
      <c r="H8" s="3" t="n">
        <v>794518.7610486185</v>
      </c>
      <c r="I8" s="3" t="n">
        <v>576880.5029560424</v>
      </c>
      <c r="J8" s="3" t="n">
        <v>217638.2580925761</v>
      </c>
      <c r="K8" s="4" t="n">
        <v>0.2739246305591748</v>
      </c>
      <c r="L8" s="3" t="n">
        <v>285.5844074039814</v>
      </c>
      <c r="M8" s="3" t="n">
        <v>3531.194493549415</v>
      </c>
      <c r="N8" t="n">
        <v>26</v>
      </c>
      <c r="O8" t="n">
        <v>39</v>
      </c>
    </row>
    <row r="9">
      <c r="A9" s="2" t="n">
        <v>46235</v>
      </c>
      <c r="B9" t="n">
        <v>2100</v>
      </c>
      <c r="C9" t="n">
        <v>259</v>
      </c>
      <c r="D9" s="3" t="n">
        <v>395</v>
      </c>
      <c r="E9" s="3" t="n">
        <v>829500</v>
      </c>
      <c r="F9" s="3" t="n">
        <v>71.50972073668427</v>
      </c>
      <c r="G9" s="3" t="n">
        <v>3045.135416138122</v>
      </c>
      <c r="H9" s="3" t="n">
        <v>832616.6451368748</v>
      </c>
      <c r="I9" s="3" t="n">
        <v>607462.0589778001</v>
      </c>
      <c r="J9" s="3" t="n">
        <v>225154.5861590747</v>
      </c>
      <c r="K9" s="4" t="n">
        <v>0.2704180699174724</v>
      </c>
      <c r="L9" s="3" t="n">
        <v>289.2676471322857</v>
      </c>
      <c r="M9" s="3" t="n">
        <v>3214.736081609555</v>
      </c>
      <c r="N9" t="n">
        <v>26</v>
      </c>
      <c r="O9" t="n">
        <v>38</v>
      </c>
    </row>
    <row r="10">
      <c r="A10" s="2" t="n">
        <v>46266</v>
      </c>
      <c r="B10" t="n">
        <v>2050</v>
      </c>
      <c r="C10" t="n">
        <v>236</v>
      </c>
      <c r="D10" s="3" t="n">
        <v>394</v>
      </c>
      <c r="E10" s="3" t="n">
        <v>807700</v>
      </c>
      <c r="F10" s="3" t="n">
        <v>75.71060584968416</v>
      </c>
      <c r="G10" s="3" t="n">
        <v>2499.629109085472</v>
      </c>
      <c r="H10" s="3" t="n">
        <v>810275.339714935</v>
      </c>
      <c r="I10" s="3" t="n">
        <v>612474.2207729651</v>
      </c>
      <c r="J10" s="3" t="n">
        <v>197801.1189419699</v>
      </c>
      <c r="K10" s="4" t="n">
        <v>0.2441159310260619</v>
      </c>
      <c r="L10" s="3" t="n">
        <v>298.7679125721781</v>
      </c>
      <c r="M10" s="3" t="n">
        <v>3433.37008353786</v>
      </c>
      <c r="N10" t="n">
        <v>25</v>
      </c>
      <c r="O10" t="n">
        <v>36</v>
      </c>
    </row>
    <row r="11">
      <c r="A11" s="2" t="n">
        <v>46296</v>
      </c>
      <c r="B11" t="n">
        <v>2180</v>
      </c>
      <c r="C11" t="n">
        <v>237</v>
      </c>
      <c r="D11" s="3" t="n">
        <v>398</v>
      </c>
      <c r="E11" s="3" t="n">
        <v>867640</v>
      </c>
      <c r="F11" s="3" t="n">
        <v>82.81214842269114</v>
      </c>
      <c r="G11" s="3" t="n">
        <v>2899.213258041998</v>
      </c>
      <c r="H11" s="3" t="n">
        <v>870622.0254064647</v>
      </c>
      <c r="I11" s="3" t="n">
        <v>652787.998877797</v>
      </c>
      <c r="J11" s="3" t="n">
        <v>217834.0265286677</v>
      </c>
      <c r="K11" s="4" t="n">
        <v>0.2502050490015666</v>
      </c>
      <c r="L11" s="3" t="n">
        <v>299.4440361824757</v>
      </c>
      <c r="M11" s="3" t="n">
        <v>3673.51065572348</v>
      </c>
      <c r="N11" t="n">
        <v>26</v>
      </c>
      <c r="O11" t="n">
        <v>41</v>
      </c>
    </row>
    <row r="12">
      <c r="A12" s="2" t="n">
        <v>46327</v>
      </c>
      <c r="B12" t="n">
        <v>2250</v>
      </c>
      <c r="C12" t="n">
        <v>257</v>
      </c>
      <c r="D12" s="3" t="n">
        <v>400</v>
      </c>
      <c r="E12" s="3" t="n">
        <v>900000</v>
      </c>
      <c r="F12" s="3" t="n">
        <v>77.74610681877883</v>
      </c>
      <c r="G12" s="3" t="n">
        <v>2888.773017098078</v>
      </c>
      <c r="H12" s="3" t="n">
        <v>902966.5191239169</v>
      </c>
      <c r="I12" s="3" t="n">
        <v>683202.2737574877</v>
      </c>
      <c r="J12" s="3" t="n">
        <v>219764.2453664292</v>
      </c>
      <c r="K12" s="4" t="n">
        <v>0.2433802812308596</v>
      </c>
      <c r="L12" s="3" t="n">
        <v>303.6454550033279</v>
      </c>
      <c r="M12" s="3" t="n">
        <v>3513.488401260377</v>
      </c>
      <c r="N12" t="n">
        <v>25</v>
      </c>
      <c r="O12" t="n">
        <v>35</v>
      </c>
    </row>
    <row r="13">
      <c r="A13" s="2" t="n">
        <v>46357</v>
      </c>
      <c r="B13" t="n">
        <v>2380</v>
      </c>
      <c r="C13" t="n">
        <v>269</v>
      </c>
      <c r="D13" s="3" t="n">
        <v>405</v>
      </c>
      <c r="E13" s="3" t="n">
        <v>963900</v>
      </c>
      <c r="F13" s="3" t="n">
        <v>87.54790410784088</v>
      </c>
      <c r="G13" s="3" t="n">
        <v>2862.914550153259</v>
      </c>
      <c r="H13" s="3" t="n">
        <v>966850.4624542611</v>
      </c>
      <c r="I13" s="3" t="n">
        <v>715083.4417138401</v>
      </c>
      <c r="J13" s="3" t="n">
        <v>251767.020740421</v>
      </c>
      <c r="K13" s="4" t="n">
        <v>0.2603991315278824</v>
      </c>
      <c r="L13" s="3" t="n">
        <v>300.4552276108572</v>
      </c>
      <c r="M13" s="3" t="n">
        <v>3594.239637376435</v>
      </c>
      <c r="N13" t="n">
        <v>26</v>
      </c>
      <c r="O13" t="n">
        <v>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10" max="10"/>
    <col width="18" customWidth="1" min="11" max="11"/>
  </cols>
  <sheetData>
    <row r="2">
      <c r="B2" s="5" t="inlineStr">
        <is>
          <t>DASHBOARD — USINA DE CONCRETO</t>
        </is>
      </c>
    </row>
    <row r="3">
      <c r="B3" s="6" t="inlineStr">
        <is>
          <t>Análise mensal — dados simulados para portfólio de Analytics</t>
        </is>
      </c>
    </row>
    <row r="5">
      <c r="B5" s="7" t="inlineStr">
        <is>
          <t>Receita Total</t>
        </is>
      </c>
      <c r="D5" s="7" t="inlineStr">
        <is>
          <t>Volume Vendido</t>
        </is>
      </c>
      <c r="F5" s="7" t="inlineStr">
        <is>
          <t>Lucro Líquido</t>
        </is>
      </c>
      <c r="H5" s="7" t="inlineStr">
        <is>
          <t>Margem Média</t>
        </is>
      </c>
    </row>
    <row r="6">
      <c r="B6" s="8">
        <f>SUM(Dados_Mensais!H2:H13)</f>
        <v/>
      </c>
      <c r="D6" s="9">
        <f>SUM(Dados_Mensais!B2:B13)</f>
        <v/>
      </c>
      <c r="F6" s="8">
        <f>SUM(Dados_Mensais!J2:J13)</f>
        <v/>
      </c>
      <c r="H6" s="10">
        <f>AVERAGE(Dados_Mensais!K2:K13)</f>
        <v/>
      </c>
    </row>
    <row r="23">
      <c r="B23" s="11" t="inlineStr">
        <is>
          <t>Resumo Mensal</t>
        </is>
      </c>
    </row>
    <row r="24">
      <c r="B24" s="7" t="inlineStr">
        <is>
          <t>Mês</t>
        </is>
      </c>
      <c r="C24" s="7" t="inlineStr">
        <is>
          <t>Receita Total</t>
        </is>
      </c>
      <c r="D24" s="7" t="inlineStr">
        <is>
          <t>Lucro Líquido</t>
        </is>
      </c>
      <c r="E24" s="7" t="inlineStr">
        <is>
          <t>Margem</t>
        </is>
      </c>
      <c r="F24" s="7" t="inlineStr">
        <is>
          <t>Volume (m³)</t>
        </is>
      </c>
    </row>
    <row r="25">
      <c r="B25">
        <f>Dados_Mensais!A2</f>
        <v/>
      </c>
      <c r="C25" s="12">
        <f>Dados_Mensais!H2</f>
        <v/>
      </c>
      <c r="D25" s="12">
        <f>Dados_Mensais!J2</f>
        <v/>
      </c>
      <c r="E25" s="4">
        <f>Dados_Mensais!K2</f>
        <v/>
      </c>
      <c r="F25" s="13">
        <f>Dados_Mensais!B2</f>
        <v/>
      </c>
    </row>
    <row r="26">
      <c r="B26">
        <f>Dados_Mensais!A3</f>
        <v/>
      </c>
      <c r="C26" s="12">
        <f>Dados_Mensais!H3</f>
        <v/>
      </c>
      <c r="D26" s="12">
        <f>Dados_Mensais!J3</f>
        <v/>
      </c>
      <c r="E26" s="4">
        <f>Dados_Mensais!K3</f>
        <v/>
      </c>
      <c r="F26" s="13">
        <f>Dados_Mensais!B3</f>
        <v/>
      </c>
    </row>
    <row r="27">
      <c r="B27">
        <f>Dados_Mensais!A4</f>
        <v/>
      </c>
      <c r="C27" s="12">
        <f>Dados_Mensais!H4</f>
        <v/>
      </c>
      <c r="D27" s="12">
        <f>Dados_Mensais!J4</f>
        <v/>
      </c>
      <c r="E27" s="4">
        <f>Dados_Mensais!K4</f>
        <v/>
      </c>
      <c r="F27" s="13">
        <f>Dados_Mensais!B4</f>
        <v/>
      </c>
    </row>
    <row r="28">
      <c r="B28">
        <f>Dados_Mensais!A5</f>
        <v/>
      </c>
      <c r="C28" s="12">
        <f>Dados_Mensais!H5</f>
        <v/>
      </c>
      <c r="D28" s="12">
        <f>Dados_Mensais!J5</f>
        <v/>
      </c>
      <c r="E28" s="4">
        <f>Dados_Mensais!K5</f>
        <v/>
      </c>
      <c r="F28" s="13">
        <f>Dados_Mensais!B5</f>
        <v/>
      </c>
    </row>
    <row r="29">
      <c r="B29">
        <f>Dados_Mensais!A6</f>
        <v/>
      </c>
      <c r="C29" s="12">
        <f>Dados_Mensais!H6</f>
        <v/>
      </c>
      <c r="D29" s="12">
        <f>Dados_Mensais!J6</f>
        <v/>
      </c>
      <c r="E29" s="4">
        <f>Dados_Mensais!K6</f>
        <v/>
      </c>
      <c r="F29" s="13">
        <f>Dados_Mensais!B6</f>
        <v/>
      </c>
    </row>
    <row r="30">
      <c r="B30">
        <f>Dados_Mensais!A7</f>
        <v/>
      </c>
      <c r="C30" s="12">
        <f>Dados_Mensais!H7</f>
        <v/>
      </c>
      <c r="D30" s="12">
        <f>Dados_Mensais!J7</f>
        <v/>
      </c>
      <c r="E30" s="4">
        <f>Dados_Mensais!K7</f>
        <v/>
      </c>
      <c r="F30" s="13">
        <f>Dados_Mensais!B7</f>
        <v/>
      </c>
    </row>
    <row r="31">
      <c r="B31">
        <f>Dados_Mensais!A8</f>
        <v/>
      </c>
      <c r="C31" s="12">
        <f>Dados_Mensais!H8</f>
        <v/>
      </c>
      <c r="D31" s="12">
        <f>Dados_Mensais!J8</f>
        <v/>
      </c>
      <c r="E31" s="4">
        <f>Dados_Mensais!K8</f>
        <v/>
      </c>
      <c r="F31" s="13">
        <f>Dados_Mensais!B8</f>
        <v/>
      </c>
    </row>
    <row r="32">
      <c r="B32">
        <f>Dados_Mensais!A9</f>
        <v/>
      </c>
      <c r="C32" s="12">
        <f>Dados_Mensais!H9</f>
        <v/>
      </c>
      <c r="D32" s="12">
        <f>Dados_Mensais!J9</f>
        <v/>
      </c>
      <c r="E32" s="4">
        <f>Dados_Mensais!K9</f>
        <v/>
      </c>
      <c r="F32" s="13">
        <f>Dados_Mensais!B9</f>
        <v/>
      </c>
    </row>
    <row r="33">
      <c r="B33">
        <f>Dados_Mensais!A10</f>
        <v/>
      </c>
      <c r="C33" s="12">
        <f>Dados_Mensais!H10</f>
        <v/>
      </c>
      <c r="D33" s="12">
        <f>Dados_Mensais!J10</f>
        <v/>
      </c>
      <c r="E33" s="4">
        <f>Dados_Mensais!K10</f>
        <v/>
      </c>
      <c r="F33" s="13">
        <f>Dados_Mensais!B10</f>
        <v/>
      </c>
    </row>
    <row r="34">
      <c r="B34">
        <f>Dados_Mensais!A11</f>
        <v/>
      </c>
      <c r="C34" s="12">
        <f>Dados_Mensais!H11</f>
        <v/>
      </c>
      <c r="D34" s="12">
        <f>Dados_Mensais!J11</f>
        <v/>
      </c>
      <c r="E34" s="4">
        <f>Dados_Mensais!K11</f>
        <v/>
      </c>
      <c r="F34" s="13">
        <f>Dados_Mensais!B11</f>
        <v/>
      </c>
    </row>
    <row r="35">
      <c r="B35">
        <f>Dados_Mensais!A12</f>
        <v/>
      </c>
      <c r="C35" s="12">
        <f>Dados_Mensais!H12</f>
        <v/>
      </c>
      <c r="D35" s="12">
        <f>Dados_Mensais!J12</f>
        <v/>
      </c>
      <c r="E35" s="4">
        <f>Dados_Mensais!K12</f>
        <v/>
      </c>
      <c r="F35" s="13">
        <f>Dados_Mensais!B12</f>
        <v/>
      </c>
    </row>
    <row r="36">
      <c r="B36">
        <f>Dados_Mensais!A13</f>
        <v/>
      </c>
      <c r="C36" s="12">
        <f>Dados_Mensais!H13</f>
        <v/>
      </c>
      <c r="D36" s="12">
        <f>Dados_Mensais!J13</f>
        <v/>
      </c>
      <c r="E36" s="4">
        <f>Dados_Mensais!K13</f>
        <v/>
      </c>
      <c r="F36" s="13">
        <f>Dados_Mensais!B13</f>
        <v/>
      </c>
    </row>
  </sheetData>
  <mergeCells count="11">
    <mergeCell ref="D6:E6"/>
    <mergeCell ref="B6:C6"/>
    <mergeCell ref="B3:J3"/>
    <mergeCell ref="H6:I6"/>
    <mergeCell ref="B5:C5"/>
    <mergeCell ref="F5:G5"/>
    <mergeCell ref="D5:E5"/>
    <mergeCell ref="F6:G6"/>
    <mergeCell ref="H5:I5"/>
    <mergeCell ref="B23:F23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4" t="inlineStr">
        <is>
          <t>PROJETO — ANÁLISE DE DADOS | USINA DE CONCRETO</t>
        </is>
      </c>
    </row>
    <row r="3">
      <c r="A3" s="15" t="inlineStr">
        <is>
          <t>Objetivo</t>
        </is>
      </c>
      <c r="B3" t="inlineStr">
        <is>
          <t>Demonstrar uma análise mensal de indicadores comerciais, operacionais e financeiros de uma usina de concreto.</t>
        </is>
      </c>
    </row>
    <row r="4">
      <c r="A4" s="15" t="inlineStr">
        <is>
          <t>Origem dos dados</t>
        </is>
      </c>
      <c r="B4" t="inlineStr">
        <is>
          <t>Dados simulados/ilustrativos, construídos para fins de portfólio e estudo de Analytics.</t>
        </is>
      </c>
    </row>
    <row r="5">
      <c r="A5" s="15" t="inlineStr">
        <is>
          <t>Período</t>
        </is>
      </c>
      <c r="B5" t="inlineStr">
        <is>
          <t>Janeiro a Dezembro de 2026.</t>
        </is>
      </c>
    </row>
    <row r="6">
      <c r="A6" s="15" t="inlineStr">
        <is>
          <t>Principais KPIs</t>
        </is>
      </c>
      <c r="B6" t="inlineStr">
        <is>
          <t>Receita Total, Volume Vendido, Lucro Líquido e Margem Líquida.</t>
        </is>
      </c>
    </row>
    <row r="7">
      <c r="A7" s="15" t="inlineStr">
        <is>
          <t>Análises</t>
        </is>
      </c>
      <c r="B7" t="inlineStr">
        <is>
          <t>Evolução mensal, volume vendido, receita, custos, lucro, margem e eficiência operacional.</t>
        </is>
      </c>
    </row>
    <row r="8">
      <c r="A8" s="15" t="inlineStr">
        <is>
          <t>Uso sugerido</t>
        </is>
      </c>
      <c r="B8" t="inlineStr">
        <is>
          <t>Abrir a aba Dashboard e utilizar os dados da aba Dados_Mensais para criar segmentações, gráficos e indicadores adicionais no Excel.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2026-08-21T11:59:26Z</dcterms:created>
  <dcterms:modified xmlns:dcterms="http://purl.org/dc/terms/" xmlns:xsi="http://www.w3.org/2001/XMLSchema-instance" xsi:type="dcterms:W3CDTF">2026-08-21T11:59:26Z</dcterms:modified>
</cp:coreProperties>
</file>