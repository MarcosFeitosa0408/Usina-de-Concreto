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🏭 Visão Geral" sheetId="1" state="visible" r:id="rId3"/>
    <sheet name="🔧 Equipamentos" sheetId="2" state="visible" r:id="rId4"/>
    <sheet name="💰 Serviços e Preços" sheetId="3" state="visible" r:id="rId5"/>
    <sheet name="📊 Simulador Financeir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<sst xmlns="http://schemas.openxmlformats.org/spreadsheetml/2006/main" count="188" uniqueCount="170">
  <si>
    <t xml:space="preserve">🏭  USINA DE CONCRETO — VISÃO GERAL DO NEGÓCIO</t>
  </si>
  <si>
    <t xml:space="preserve">Modelo de negócio • Equipamentos • Serviços • Diferenciais competitivos</t>
  </si>
  <si>
    <t xml:space="preserve">⚙️  COMO FUNCIONA</t>
  </si>
  <si>
    <t xml:space="preserve">1</t>
  </si>
  <si>
    <t xml:space="preserve">Compra de Matéria-Prima</t>
  </si>
  <si>
    <t xml:space="preserve">Cimento, areia, brita e aditivos são adquiridos de fornecedores</t>
  </si>
  <si>
    <t xml:space="preserve">2</t>
  </si>
  <si>
    <t xml:space="preserve">Produção Sob Demanda</t>
  </si>
  <si>
    <t xml:space="preserve">O concreto é produzido na betoneira industrial conforme pedido</t>
  </si>
  <si>
    <t xml:space="preserve">3</t>
  </si>
  <si>
    <t xml:space="preserve">Controle de Qualidade</t>
  </si>
  <si>
    <t xml:space="preserve">Verificação do FCK (resistência) e proporção dos materiais</t>
  </si>
  <si>
    <t xml:space="preserve">4</t>
  </si>
  <si>
    <t xml:space="preserve">Transporte até a Obra</t>
  </si>
  <si>
    <t xml:space="preserve">Caminhão betoneira mantém o concreto em movimento durante o trajeto</t>
  </si>
  <si>
    <t xml:space="preserve">5</t>
  </si>
  <si>
    <t xml:space="preserve">Lançamento</t>
  </si>
  <si>
    <t xml:space="preserve">Bomba de concreto posiciona o material em locais de difícil acesso</t>
  </si>
  <si>
    <t xml:space="preserve">6</t>
  </si>
  <si>
    <t xml:space="preserve">Cobrança</t>
  </si>
  <si>
    <t xml:space="preserve">R$/m³ + taxa de bombeamento + frete + tempo de espera</t>
  </si>
  <si>
    <t xml:space="preserve">💰  MODELO DE NEGÓCIO</t>
  </si>
  <si>
    <t xml:space="preserve">Unidade de Venda</t>
  </si>
  <si>
    <t xml:space="preserve">Metro cúbico (m³)</t>
  </si>
  <si>
    <t xml:space="preserve">Padrão do setor</t>
  </si>
  <si>
    <t xml:space="preserve">Faixa de Preço</t>
  </si>
  <si>
    <t xml:space="preserve">R$ 300 – R$ 600 por m³</t>
  </si>
  <si>
    <t xml:space="preserve">Varia por região e tipo</t>
  </si>
  <si>
    <t xml:space="preserve">Bombeamento</t>
  </si>
  <si>
    <t xml:space="preserve">Taxa adicional cobrada por uso</t>
  </si>
  <si>
    <t xml:space="preserve">Obras em altura/laje</t>
  </si>
  <si>
    <t xml:space="preserve">Frete</t>
  </si>
  <si>
    <t xml:space="preserve">Cobrado por distância da obra</t>
  </si>
  <si>
    <t xml:space="preserve">Logística crítica</t>
  </si>
  <si>
    <t xml:space="preserve">Tempo de Espera</t>
  </si>
  <si>
    <t xml:space="preserve">Cobrado quando obra atrasa descarga</t>
  </si>
  <si>
    <t xml:space="preserve">Concreto endurece!</t>
  </si>
  <si>
    <t xml:space="preserve">Volume típico de obra</t>
  </si>
  <si>
    <t xml:space="preserve">10 a 50 m³ por laje (ou mais)</t>
  </si>
  <si>
    <t xml:space="preserve">Depende do projeto</t>
  </si>
  <si>
    <t xml:space="preserve">🏆  DIFERENCIAIS COMPETITIVOS</t>
  </si>
  <si>
    <t xml:space="preserve">⚡ Logística Rápida</t>
  </si>
  <si>
    <t xml:space="preserve">Tempo é crítico — concreto endurece em horas. Entrega pontual é essencial.</t>
  </si>
  <si>
    <t xml:space="preserve">🔬 Controle de FCK</t>
  </si>
  <si>
    <t xml:space="preserve">Resistência do concreto precisa ser garantida por ensaios e dosagem correta.</t>
  </si>
  <si>
    <t xml:space="preserve">🤝 Relacionamento</t>
  </si>
  <si>
    <t xml:space="preserve">Parcerias com construtoras geram volume constante e fidelização de clientes.</t>
  </si>
  <si>
    <t xml:space="preserve">🔧  EQUIPAMENTOS PRINCIPAIS DA USINA</t>
  </si>
  <si>
    <t xml:space="preserve">Função, custo estimado e papel no processo produtivo</t>
  </si>
  <si>
    <t xml:space="preserve">Equipamento</t>
  </si>
  <si>
    <t xml:space="preserve">Função Principal</t>
  </si>
  <si>
    <t xml:space="preserve">Quando é Usado</t>
  </si>
  <si>
    <t xml:space="preserve">Custo Est. (R$)</t>
  </si>
  <si>
    <t xml:space="preserve">Crítico?</t>
  </si>
  <si>
    <t xml:space="preserve">Betoneira Industrial</t>
  </si>
  <si>
    <t xml:space="preserve">Mistura cimento, areia, brita, água e aditivos na proporção correta</t>
  </si>
  <si>
    <t xml:space="preserve">Toda produção de concreto</t>
  </si>
  <si>
    <t xml:space="preserve">150.000 – 500.000</t>
  </si>
  <si>
    <t xml:space="preserve">✅ Sim</t>
  </si>
  <si>
    <t xml:space="preserve">Caminhão Betoneira</t>
  </si>
  <si>
    <t xml:space="preserve">Transporta o concreto mantendo rotação para não endurecer</t>
  </si>
  <si>
    <t xml:space="preserve">Todo pedido entregue em obra</t>
  </si>
  <si>
    <t xml:space="preserve">250.000 – 450.000</t>
  </si>
  <si>
    <t xml:space="preserve">Bomba de Concreto</t>
  </si>
  <si>
    <t xml:space="preserve">Lança o concreto em locais de difícil acesso (lajes, andares altos)</t>
  </si>
  <si>
    <t xml:space="preserve">Obras em altura e lajes</t>
  </si>
  <si>
    <t xml:space="preserve">200.000 – 600.000</t>
  </si>
  <si>
    <t xml:space="preserve">⚠️ Opcional</t>
  </si>
  <si>
    <t xml:space="preserve">Silo de Cimento</t>
  </si>
  <si>
    <t xml:space="preserve">Armazena cimento a granel para abastecimento contínuo</t>
  </si>
  <si>
    <t xml:space="preserve">Operação diária da usina</t>
  </si>
  <si>
    <t xml:space="preserve">80.000 – 200.000</t>
  </si>
  <si>
    <t xml:space="preserve">Laboratório FCK</t>
  </si>
  <si>
    <t xml:space="preserve">Realiza ensaios de resistência e controle de qualidade</t>
  </si>
  <si>
    <t xml:space="preserve">Controle de qualidade</t>
  </si>
  <si>
    <t xml:space="preserve">30.000 – 100.000</t>
  </si>
  <si>
    <t xml:space="preserve">Balança de pesagem</t>
  </si>
  <si>
    <t xml:space="preserve">Garante dosagem precisa dos agregados</t>
  </si>
  <si>
    <t xml:space="preserve">Toda produção</t>
  </si>
  <si>
    <t xml:space="preserve">20.000 – 60.000</t>
  </si>
  <si>
    <t xml:space="preserve">💰  SERVIÇOS OFERECIDOS E TABELA DE PREÇOS</t>
  </si>
  <si>
    <t xml:space="preserve">Preços de referência — variam por região, tipo e volume contratado</t>
  </si>
  <si>
    <t xml:space="preserve">📦  TIPOS DE CONCRETO</t>
  </si>
  <si>
    <t xml:space="preserve">Tipo</t>
  </si>
  <si>
    <t xml:space="preserve">Descrição</t>
  </si>
  <si>
    <t xml:space="preserve">FCK (MPa)</t>
  </si>
  <si>
    <t xml:space="preserve">Preço/m³ (R$)</t>
  </si>
  <si>
    <t xml:space="preserve">Uso Típico</t>
  </si>
  <si>
    <t xml:space="preserve">Bombeável?</t>
  </si>
  <si>
    <t xml:space="preserve">Concreto Simples</t>
  </si>
  <si>
    <t xml:space="preserve">Mistura básica sem aditivos especiais</t>
  </si>
  <si>
    <t xml:space="preserve">15 – 20</t>
  </si>
  <si>
    <t xml:space="preserve">280 – 380</t>
  </si>
  <si>
    <t xml:space="preserve">Calçadas, muros</t>
  </si>
  <si>
    <t xml:space="preserve">Não</t>
  </si>
  <si>
    <t xml:space="preserve">Concreto Convencional</t>
  </si>
  <si>
    <t xml:space="preserve">Uso geral em obras residenciais</t>
  </si>
  <si>
    <t xml:space="preserve">20 – 25</t>
  </si>
  <si>
    <t xml:space="preserve">320 – 420</t>
  </si>
  <si>
    <t xml:space="preserve">Fundações, pilares</t>
  </si>
  <si>
    <t xml:space="preserve">Parcial</t>
  </si>
  <si>
    <t xml:space="preserve">Concreto Bombeável</t>
  </si>
  <si>
    <t xml:space="preserve">Com aditivos plastificantes p/ fluidez</t>
  </si>
  <si>
    <t xml:space="preserve">25 – 30</t>
  </si>
  <si>
    <t xml:space="preserve">370 – 480</t>
  </si>
  <si>
    <t xml:space="preserve">Lajes, andares altos</t>
  </si>
  <si>
    <t xml:space="preserve">Concreto Alta Resistência</t>
  </si>
  <si>
    <t xml:space="preserve">Aditivos especiais e controle rígido de FCK</t>
  </si>
  <si>
    <t xml:space="preserve">35 – 60</t>
  </si>
  <si>
    <t xml:space="preserve">480 – 700</t>
  </si>
  <si>
    <t xml:space="preserve">Estruturas especiais</t>
  </si>
  <si>
    <t xml:space="preserve">Concreto Auto-adensável</t>
  </si>
  <si>
    <t xml:space="preserve">Flui sem vibração, acabamento superior</t>
  </si>
  <si>
    <t xml:space="preserve">30 – 50</t>
  </si>
  <si>
    <t xml:space="preserve">550 – 800</t>
  </si>
  <si>
    <t xml:space="preserve">Formas complexas</t>
  </si>
  <si>
    <t xml:space="preserve">➕  COBRANÇAS ADICIONAIS</t>
  </si>
  <si>
    <t xml:space="preserve">Serviço</t>
  </si>
  <si>
    <t xml:space="preserve">Unidade</t>
  </si>
  <si>
    <t xml:space="preserve">Valor Estimado</t>
  </si>
  <si>
    <t xml:space="preserve">Obrigatório?</t>
  </si>
  <si>
    <t xml:space="preserve">Observação</t>
  </si>
  <si>
    <t xml:space="preserve">Taxa de Bombeamento</t>
  </si>
  <si>
    <t xml:space="preserve">Aluguel e operação da bomba</t>
  </si>
  <si>
    <t xml:space="preserve">Por m³</t>
  </si>
  <si>
    <t xml:space="preserve">R$ 40 – 80</t>
  </si>
  <si>
    <t xml:space="preserve">Somente c/ bomba</t>
  </si>
  <si>
    <t xml:space="preserve">Transporte até a obra</t>
  </si>
  <si>
    <t xml:space="preserve">Por km/m³</t>
  </si>
  <si>
    <t xml:space="preserve">R$ 20 – 60</t>
  </si>
  <si>
    <t xml:space="preserve">Raio de atendimento</t>
  </si>
  <si>
    <t xml:space="preserve">Hora parada na obra (standby)</t>
  </si>
  <si>
    <t xml:space="preserve">Por hora</t>
  </si>
  <si>
    <t xml:space="preserve">R$ 150 – 300</t>
  </si>
  <si>
    <t xml:space="preserve">Após franquia grátis</t>
  </si>
  <si>
    <t xml:space="preserve">Retorno de Concreto</t>
  </si>
  <si>
    <t xml:space="preserve">Concreto devolvido não utilizado</t>
  </si>
  <si>
    <t xml:space="preserve">R$ 100 – 200</t>
  </si>
  <si>
    <t xml:space="preserve">Depende do contrato</t>
  </si>
  <si>
    <t xml:space="preserve">Entrega Programada</t>
  </si>
  <si>
    <t xml:space="preserve">Agendamento em horário específico</t>
  </si>
  <si>
    <t xml:space="preserve">Por pedido</t>
  </si>
  <si>
    <t xml:space="preserve">R$ 0 – 150</t>
  </si>
  <si>
    <t xml:space="preserve">Gestão de agenda</t>
  </si>
  <si>
    <t xml:space="preserve">📊  SIMULADOR DE RECEITA — USINA DE CONCRETO</t>
  </si>
  <si>
    <t xml:space="preserve">Altere os campos em azul para simular diferentes cenários</t>
  </si>
  <si>
    <t xml:space="preserve">🔵  PREMISSAS (EDITE OS VALORES AZUIS)</t>
  </si>
  <si>
    <t xml:space="preserve">Parâmetro</t>
  </si>
  <si>
    <t xml:space="preserve">Valor</t>
  </si>
  <si>
    <t xml:space="preserve">Preço do concreto (R$/m³)</t>
  </si>
  <si>
    <t xml:space="preserve">Volume diário produzido (m³)</t>
  </si>
  <si>
    <t xml:space="preserve">Dias úteis por mês</t>
  </si>
  <si>
    <t xml:space="preserve">Taxa de bombeamento (R$/m³)</t>
  </si>
  <si>
    <t xml:space="preserve">% pedidos com bombeamento</t>
  </si>
  <si>
    <t xml:space="preserve">Receita frete média por pedido (R$)</t>
  </si>
  <si>
    <t xml:space="preserve">Nº de pedidos por dia</t>
  </si>
  <si>
    <t xml:space="preserve">📈  RESULTADOS CALCULADOS (FÓRMULAS)</t>
  </si>
  <si>
    <t xml:space="preserve">Indicador</t>
  </si>
  <si>
    <t xml:space="preserve">Diário (R$)</t>
  </si>
  <si>
    <t xml:space="preserve">Mensal (R$)</t>
  </si>
  <si>
    <t xml:space="preserve">Anual (R$)</t>
  </si>
  <si>
    <t xml:space="preserve">Receita Concreto</t>
  </si>
  <si>
    <t xml:space="preserve">Preço × Volume diário</t>
  </si>
  <si>
    <t xml:space="preserve">Receita Bombeamento</t>
  </si>
  <si>
    <t xml:space="preserve">Taxa × Vol × % c/ bomba</t>
  </si>
  <si>
    <t xml:space="preserve">Receita Frete</t>
  </si>
  <si>
    <t xml:space="preserve">Frete médio × pedidos</t>
  </si>
  <si>
    <t xml:space="preserve">RECEITA TOTAL</t>
  </si>
  <si>
    <t xml:space="preserve">Soma de todas as receitas</t>
  </si>
  <si>
    <t xml:space="preserve">⚠️  Simulação para fins de referência. Custos operacionais (matéria-prima, combustível, mão-de-obra) não estão deduzidos.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</si>
</sst>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&quot;R$ &quot;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252F"/>
      <name val="Arial"/>
      <family val="0"/>
      <charset val="1"/>
    </font>
    <font>
      <sz val="10"/>
      <color rgb="FF1A252F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7AE60"/>
      <name val="Arial"/>
      <family val="0"/>
      <charset val="1"/>
    </font>
    <font>
      <sz val="10"/>
      <color rgb="FFE67E22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E74C3C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3640"/>
        <bgColor rgb="FF1A252F"/>
      </patternFill>
    </fill>
    <fill>
      <patternFill patternType="solid">
        <fgColor rgb="FFE67E22"/>
        <bgColor rgb="FFF39C12"/>
      </patternFill>
    </fill>
    <fill>
      <patternFill patternType="solid">
        <fgColor rgb="FFF39C12"/>
        <bgColor rgb="FFE67E22"/>
      </patternFill>
    </fill>
    <fill>
      <patternFill patternType="solid">
        <fgColor rgb="FFFEF9E7"/>
        <bgColor rgb="FFFFFFFF"/>
      </patternFill>
    </fill>
    <fill>
      <patternFill patternType="solid">
        <fgColor rgb="FFFFFFFF"/>
        <bgColor rgb="FFFEF9E7"/>
      </patternFill>
    </fill>
    <fill>
      <patternFill patternType="solid">
        <fgColor rgb="FFEBF5FB"/>
        <bgColor rgb="FFEAFAF1"/>
      </patternFill>
    </fill>
    <fill>
      <patternFill patternType="solid">
        <fgColor rgb="FF27AE60"/>
        <bgColor rgb="FF008080"/>
      </patternFill>
    </fill>
    <fill>
      <patternFill patternType="solid">
        <fgColor rgb="FFEAFAF1"/>
        <bgColor rgb="FFEBF5FB"/>
      </patternFill>
    </fill>
    <fill>
      <patternFill patternType="solid">
        <fgColor rgb="FFFDEDEC"/>
        <bgColor rgb="FFFEF9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EAFAF1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67E22"/>
      <rgbColor rgb="FF666699"/>
      <rgbColor rgb="FF969696"/>
      <rgbColor rgb="FF003366"/>
      <rgbColor rgb="FF27AE60"/>
      <rgbColor rgb="FF003300"/>
      <rgbColor rgb="FF1A252F"/>
      <rgbColor rgb="FF993300"/>
      <rgbColor rgb="FF993366"/>
      <rgbColor rgb="FF333399"/>
      <rgbColor rgb="FF2F3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2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30" hidden="false" customHeight="true" outlineLevel="0" collapsed="false">
      <c r="A5" s="4" t="s">
        <v>3</v>
      </c>
      <c r="B5" s="5" t="s">
        <v>4</v>
      </c>
      <c r="C5" s="6" t="s">
        <v>5</v>
      </c>
      <c r="D5" s="6"/>
      <c r="E5" s="6"/>
      <c r="F5" s="6"/>
      <c r="G5" s="6"/>
    </row>
    <row r="6" customFormat="false" ht="30" hidden="false" customHeight="true" outlineLevel="0" collapsed="false">
      <c r="A6" s="4" t="s">
        <v>6</v>
      </c>
      <c r="B6" s="7" t="s">
        <v>7</v>
      </c>
      <c r="C6" s="8" t="s">
        <v>8</v>
      </c>
      <c r="D6" s="8"/>
      <c r="E6" s="8"/>
      <c r="F6" s="8"/>
      <c r="G6" s="8"/>
    </row>
    <row r="7" customFormat="false" ht="30" hidden="false" customHeight="true" outlineLevel="0" collapsed="false">
      <c r="A7" s="4" t="s">
        <v>9</v>
      </c>
      <c r="B7" s="5" t="s">
        <v>10</v>
      </c>
      <c r="C7" s="6" t="s">
        <v>11</v>
      </c>
      <c r="D7" s="6"/>
      <c r="E7" s="6"/>
      <c r="F7" s="6"/>
      <c r="G7" s="6"/>
    </row>
    <row r="8" customFormat="false" ht="30" hidden="false" customHeight="true" outlineLevel="0" collapsed="false">
      <c r="A8" s="4" t="s">
        <v>12</v>
      </c>
      <c r="B8" s="7" t="s">
        <v>13</v>
      </c>
      <c r="C8" s="8" t="s">
        <v>14</v>
      </c>
      <c r="D8" s="8"/>
      <c r="E8" s="8"/>
      <c r="F8" s="8"/>
      <c r="G8" s="8"/>
    </row>
    <row r="9" customFormat="false" ht="30" hidden="false" customHeight="true" outlineLevel="0" collapsed="false">
      <c r="A9" s="4" t="s">
        <v>15</v>
      </c>
      <c r="B9" s="5" t="s">
        <v>16</v>
      </c>
      <c r="C9" s="6" t="s">
        <v>17</v>
      </c>
      <c r="D9" s="6"/>
      <c r="E9" s="6"/>
      <c r="F9" s="6"/>
      <c r="G9" s="6"/>
    </row>
    <row r="10" customFormat="false" ht="30" hidden="false" customHeight="true" outlineLevel="0" collapsed="false">
      <c r="A10" s="4" t="s">
        <v>18</v>
      </c>
      <c r="B10" s="7" t="s">
        <v>19</v>
      </c>
      <c r="C10" s="8" t="s">
        <v>20</v>
      </c>
      <c r="D10" s="8"/>
      <c r="E10" s="8"/>
      <c r="F10" s="8"/>
      <c r="G10" s="8"/>
    </row>
    <row r="12" customFormat="false" ht="21.75" hidden="false" customHeight="true" outlineLevel="0" collapsed="false">
      <c r="A12" s="9" t="s">
        <v>21</v>
      </c>
      <c r="B12" s="9"/>
      <c r="C12" s="9"/>
      <c r="D12" s="9"/>
      <c r="E12" s="9"/>
      <c r="F12" s="9"/>
      <c r="G12" s="9"/>
    </row>
    <row r="13" customFormat="false" ht="27.75" hidden="false" customHeight="true" outlineLevel="0" collapsed="false">
      <c r="A13" s="10" t="s">
        <v>22</v>
      </c>
      <c r="B13" s="11" t="s">
        <v>23</v>
      </c>
      <c r="C13" s="11"/>
      <c r="D13" s="11"/>
      <c r="E13" s="12" t="s">
        <v>24</v>
      </c>
      <c r="F13" s="12"/>
      <c r="G13" s="12"/>
    </row>
    <row r="14" customFormat="false" ht="27.75" hidden="false" customHeight="true" outlineLevel="0" collapsed="false">
      <c r="A14" s="7" t="s">
        <v>25</v>
      </c>
      <c r="B14" s="13" t="s">
        <v>26</v>
      </c>
      <c r="C14" s="13"/>
      <c r="D14" s="13"/>
      <c r="E14" s="8" t="s">
        <v>27</v>
      </c>
      <c r="F14" s="8"/>
      <c r="G14" s="8"/>
    </row>
    <row r="15" customFormat="false" ht="27.75" hidden="false" customHeight="true" outlineLevel="0" collapsed="false">
      <c r="A15" s="10" t="s">
        <v>28</v>
      </c>
      <c r="B15" s="11" t="s">
        <v>29</v>
      </c>
      <c r="C15" s="11"/>
      <c r="D15" s="11"/>
      <c r="E15" s="12" t="s">
        <v>30</v>
      </c>
      <c r="F15" s="12"/>
      <c r="G15" s="12"/>
    </row>
    <row r="16" customFormat="false" ht="27.75" hidden="false" customHeight="true" outlineLevel="0" collapsed="false">
      <c r="A16" s="7" t="s">
        <v>31</v>
      </c>
      <c r="B16" s="13" t="s">
        <v>32</v>
      </c>
      <c r="C16" s="13"/>
      <c r="D16" s="13"/>
      <c r="E16" s="8" t="s">
        <v>33</v>
      </c>
      <c r="F16" s="8"/>
      <c r="G16" s="8"/>
    </row>
    <row r="17" customFormat="false" ht="27.75" hidden="false" customHeight="true" outlineLevel="0" collapsed="false">
      <c r="A17" s="10" t="s">
        <v>34</v>
      </c>
      <c r="B17" s="11" t="s">
        <v>35</v>
      </c>
      <c r="C17" s="11"/>
      <c r="D17" s="11"/>
      <c r="E17" s="12" t="s">
        <v>36</v>
      </c>
      <c r="F17" s="12"/>
      <c r="G17" s="12"/>
    </row>
    <row r="18" customFormat="false" ht="27.75" hidden="false" customHeight="true" outlineLevel="0" collapsed="false">
      <c r="A18" s="7" t="s">
        <v>37</v>
      </c>
      <c r="B18" s="13" t="s">
        <v>38</v>
      </c>
      <c r="C18" s="13"/>
      <c r="D18" s="13"/>
      <c r="E18" s="8" t="s">
        <v>39</v>
      </c>
      <c r="F18" s="8"/>
      <c r="G18" s="8"/>
    </row>
    <row r="20" customFormat="false" ht="21.75" hidden="false" customHeight="true" outlineLevel="0" collapsed="false">
      <c r="A20" s="14" t="s">
        <v>40</v>
      </c>
      <c r="B20" s="14"/>
      <c r="C20" s="14"/>
      <c r="D20" s="14"/>
      <c r="E20" s="14"/>
      <c r="F20" s="14"/>
      <c r="G20" s="14"/>
    </row>
    <row r="21" customFormat="false" ht="31.5" hidden="false" customHeight="true" outlineLevel="0" collapsed="false">
      <c r="A21" s="15" t="s">
        <v>41</v>
      </c>
      <c r="B21" s="16" t="s">
        <v>42</v>
      </c>
      <c r="C21" s="16"/>
      <c r="D21" s="16"/>
      <c r="E21" s="16"/>
      <c r="F21" s="16"/>
      <c r="G21" s="16"/>
    </row>
    <row r="22" customFormat="false" ht="31.5" hidden="false" customHeight="true" outlineLevel="0" collapsed="false">
      <c r="A22" s="17" t="s">
        <v>43</v>
      </c>
      <c r="B22" s="8" t="s">
        <v>44</v>
      </c>
      <c r="C22" s="8"/>
      <c r="D22" s="8"/>
      <c r="E22" s="8"/>
      <c r="F22" s="8"/>
      <c r="G22" s="8"/>
    </row>
    <row r="23" customFormat="false" ht="31.5" hidden="false" customHeight="true" outlineLevel="0" collapsed="false">
      <c r="A23" s="15" t="s">
        <v>45</v>
      </c>
      <c r="B23" s="16" t="s">
        <v>46</v>
      </c>
      <c r="C23" s="16"/>
      <c r="D23" s="16"/>
      <c r="E23" s="16"/>
      <c r="F23" s="16"/>
      <c r="G23" s="16"/>
    </row>
  </sheetData>
  <mergeCells count="26">
    <mergeCell ref="A1:G1"/>
    <mergeCell ref="A2:G2"/>
    <mergeCell ref="A4:G4"/>
    <mergeCell ref="C5:G5"/>
    <mergeCell ref="C6:G6"/>
    <mergeCell ref="C7:G7"/>
    <mergeCell ref="C8:G8"/>
    <mergeCell ref="C9:G9"/>
    <mergeCell ref="C10:G10"/>
    <mergeCell ref="A12:G12"/>
    <mergeCell ref="B13:D13"/>
    <mergeCell ref="E13:G13"/>
    <mergeCell ref="B14:D14"/>
    <mergeCell ref="E14:G14"/>
    <mergeCell ref="B15:D15"/>
    <mergeCell ref="E15:G15"/>
    <mergeCell ref="B16:D16"/>
    <mergeCell ref="E16:G16"/>
    <mergeCell ref="B17:D17"/>
    <mergeCell ref="E17:G17"/>
    <mergeCell ref="B18:D18"/>
    <mergeCell ref="E18:G18"/>
    <mergeCell ref="A20:G20"/>
    <mergeCell ref="B21:G21"/>
    <mergeCell ref="B22:G22"/>
    <mergeCell ref="B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5" min="4" style="0" width="20"/>
  </cols>
  <sheetData>
    <row r="1" customFormat="false" ht="48" hidden="false" customHeight="true" outlineLevel="0" collapsed="false">
      <c r="A1" s="18" t="s">
        <v>47</v>
      </c>
      <c r="B1" s="18"/>
      <c r="C1" s="18"/>
      <c r="D1" s="18"/>
      <c r="E1" s="18"/>
    </row>
    <row r="2" customFormat="false" ht="21.75" hidden="false" customHeight="true" outlineLevel="0" collapsed="false">
      <c r="A2" s="19" t="s">
        <v>48</v>
      </c>
      <c r="B2" s="19"/>
      <c r="C2" s="19"/>
      <c r="D2" s="19"/>
      <c r="E2" s="19"/>
    </row>
    <row r="4" customFormat="false" ht="21.75" hidden="false" customHeight="true" outlineLevel="0" collapsed="false">
      <c r="A4" s="20" t="s">
        <v>49</v>
      </c>
      <c r="B4" s="20" t="s">
        <v>50</v>
      </c>
      <c r="C4" s="20" t="s">
        <v>51</v>
      </c>
      <c r="D4" s="20" t="s">
        <v>52</v>
      </c>
      <c r="E4" s="20" t="s">
        <v>53</v>
      </c>
    </row>
    <row r="5" customFormat="false" ht="39.75" hidden="false" customHeight="true" outlineLevel="0" collapsed="false">
      <c r="A5" s="5" t="s">
        <v>54</v>
      </c>
      <c r="B5" s="21" t="s">
        <v>55</v>
      </c>
      <c r="C5" s="21" t="s">
        <v>56</v>
      </c>
      <c r="D5" s="22" t="s">
        <v>57</v>
      </c>
      <c r="E5" s="23" t="s">
        <v>58</v>
      </c>
    </row>
    <row r="6" customFormat="false" ht="39.75" hidden="false" customHeight="true" outlineLevel="0" collapsed="false">
      <c r="A6" s="7" t="s">
        <v>59</v>
      </c>
      <c r="B6" s="24" t="s">
        <v>60</v>
      </c>
      <c r="C6" s="24" t="s">
        <v>61</v>
      </c>
      <c r="D6" s="25" t="s">
        <v>62</v>
      </c>
      <c r="E6" s="26" t="s">
        <v>58</v>
      </c>
    </row>
    <row r="7" customFormat="false" ht="39.75" hidden="false" customHeight="true" outlineLevel="0" collapsed="false">
      <c r="A7" s="5" t="s">
        <v>63</v>
      </c>
      <c r="B7" s="21" t="s">
        <v>64</v>
      </c>
      <c r="C7" s="21" t="s">
        <v>65</v>
      </c>
      <c r="D7" s="22" t="s">
        <v>66</v>
      </c>
      <c r="E7" s="22" t="s">
        <v>67</v>
      </c>
    </row>
    <row r="8" customFormat="false" ht="39.75" hidden="false" customHeight="true" outlineLevel="0" collapsed="false">
      <c r="A8" s="7" t="s">
        <v>68</v>
      </c>
      <c r="B8" s="24" t="s">
        <v>69</v>
      </c>
      <c r="C8" s="24" t="s">
        <v>70</v>
      </c>
      <c r="D8" s="25" t="s">
        <v>71</v>
      </c>
      <c r="E8" s="26" t="s">
        <v>58</v>
      </c>
    </row>
    <row r="9" customFormat="false" ht="39.75" hidden="false" customHeight="true" outlineLevel="0" collapsed="false">
      <c r="A9" s="5" t="s">
        <v>72</v>
      </c>
      <c r="B9" s="21" t="s">
        <v>73</v>
      </c>
      <c r="C9" s="21" t="s">
        <v>74</v>
      </c>
      <c r="D9" s="22" t="s">
        <v>75</v>
      </c>
      <c r="E9" s="23" t="s">
        <v>58</v>
      </c>
    </row>
    <row r="10" customFormat="false" ht="39.75" hidden="false" customHeight="true" outlineLevel="0" collapsed="false">
      <c r="A10" s="7" t="s">
        <v>76</v>
      </c>
      <c r="B10" s="24" t="s">
        <v>77</v>
      </c>
      <c r="C10" s="24" t="s">
        <v>78</v>
      </c>
      <c r="D10" s="25" t="s">
        <v>79</v>
      </c>
      <c r="E10" s="26" t="s">
        <v>58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6" min="6" style="0" width="22"/>
  </cols>
  <sheetData>
    <row r="1" customFormat="false" ht="48" hidden="false" customHeight="true" outlineLevel="0" collapsed="false">
      <c r="A1" s="18" t="s">
        <v>80</v>
      </c>
      <c r="B1" s="18"/>
      <c r="C1" s="18"/>
      <c r="D1" s="18"/>
      <c r="E1" s="18"/>
      <c r="F1" s="18"/>
    </row>
    <row r="2" customFormat="false" ht="21.75" hidden="false" customHeight="true" outlineLevel="0" collapsed="false">
      <c r="A2" s="19" t="s">
        <v>81</v>
      </c>
      <c r="B2" s="19"/>
      <c r="C2" s="19"/>
      <c r="D2" s="19"/>
      <c r="E2" s="19"/>
      <c r="F2" s="19"/>
    </row>
    <row r="4" customFormat="false" ht="21.75" hidden="false" customHeight="true" outlineLevel="0" collapsed="false">
      <c r="A4" s="27" t="s">
        <v>82</v>
      </c>
      <c r="B4" s="27"/>
      <c r="C4" s="27"/>
      <c r="D4" s="27"/>
      <c r="E4" s="27"/>
      <c r="F4" s="27"/>
    </row>
    <row r="5" customFormat="false" ht="21.75" hidden="false" customHeight="true" outlineLevel="0" collapsed="false">
      <c r="A5" s="28" t="s">
        <v>83</v>
      </c>
      <c r="B5" s="28" t="s">
        <v>84</v>
      </c>
      <c r="C5" s="28" t="s">
        <v>85</v>
      </c>
      <c r="D5" s="28" t="s">
        <v>86</v>
      </c>
      <c r="E5" s="28" t="s">
        <v>87</v>
      </c>
      <c r="F5" s="28" t="s">
        <v>88</v>
      </c>
    </row>
    <row r="6" customFormat="false" ht="36" hidden="false" customHeight="true" outlineLevel="0" collapsed="false">
      <c r="A6" s="29" t="s">
        <v>89</v>
      </c>
      <c r="B6" s="21" t="s">
        <v>90</v>
      </c>
      <c r="C6" s="30" t="s">
        <v>91</v>
      </c>
      <c r="D6" s="22" t="s">
        <v>92</v>
      </c>
      <c r="E6" s="21" t="s">
        <v>93</v>
      </c>
      <c r="F6" s="30" t="s">
        <v>94</v>
      </c>
    </row>
    <row r="7" customFormat="false" ht="36" hidden="false" customHeight="true" outlineLevel="0" collapsed="false">
      <c r="A7" s="7" t="s">
        <v>95</v>
      </c>
      <c r="B7" s="24" t="s">
        <v>96</v>
      </c>
      <c r="C7" s="31" t="s">
        <v>97</v>
      </c>
      <c r="D7" s="25" t="s">
        <v>98</v>
      </c>
      <c r="E7" s="24" t="s">
        <v>99</v>
      </c>
      <c r="F7" s="31" t="s">
        <v>100</v>
      </c>
    </row>
    <row r="8" customFormat="false" ht="36" hidden="false" customHeight="true" outlineLevel="0" collapsed="false">
      <c r="A8" s="5" t="s">
        <v>101</v>
      </c>
      <c r="B8" s="21" t="s">
        <v>102</v>
      </c>
      <c r="C8" s="30" t="s">
        <v>103</v>
      </c>
      <c r="D8" s="22" t="s">
        <v>104</v>
      </c>
      <c r="E8" s="21" t="s">
        <v>105</v>
      </c>
      <c r="F8" s="32" t="s">
        <v>58</v>
      </c>
    </row>
    <row r="9" customFormat="false" ht="36" hidden="false" customHeight="true" outlineLevel="0" collapsed="false">
      <c r="A9" s="7" t="s">
        <v>106</v>
      </c>
      <c r="B9" s="24" t="s">
        <v>107</v>
      </c>
      <c r="C9" s="31" t="s">
        <v>108</v>
      </c>
      <c r="D9" s="25" t="s">
        <v>109</v>
      </c>
      <c r="E9" s="24" t="s">
        <v>110</v>
      </c>
      <c r="F9" s="33" t="s">
        <v>58</v>
      </c>
    </row>
    <row r="10" customFormat="false" ht="36" hidden="false" customHeight="true" outlineLevel="0" collapsed="false">
      <c r="A10" s="5" t="s">
        <v>111</v>
      </c>
      <c r="B10" s="21" t="s">
        <v>112</v>
      </c>
      <c r="C10" s="30" t="s">
        <v>113</v>
      </c>
      <c r="D10" s="22" t="s">
        <v>114</v>
      </c>
      <c r="E10" s="21" t="s">
        <v>115</v>
      </c>
      <c r="F10" s="32" t="s">
        <v>58</v>
      </c>
    </row>
    <row r="12" customFormat="false" ht="21.75" hidden="false" customHeight="true" outlineLevel="0" collapsed="false">
      <c r="A12" s="34" t="s">
        <v>116</v>
      </c>
      <c r="B12" s="34"/>
      <c r="C12" s="34"/>
      <c r="D12" s="34"/>
      <c r="E12" s="34"/>
      <c r="F12" s="34"/>
    </row>
    <row r="13" customFormat="false" ht="21.75" hidden="false" customHeight="true" outlineLevel="0" collapsed="false">
      <c r="A13" s="20" t="s">
        <v>117</v>
      </c>
      <c r="B13" s="20" t="s">
        <v>84</v>
      </c>
      <c r="C13" s="20" t="s">
        <v>118</v>
      </c>
      <c r="D13" s="20" t="s">
        <v>119</v>
      </c>
      <c r="E13" s="20" t="s">
        <v>120</v>
      </c>
      <c r="F13" s="20" t="s">
        <v>121</v>
      </c>
    </row>
    <row r="14" customFormat="false" ht="31.5" hidden="false" customHeight="true" outlineLevel="0" collapsed="false">
      <c r="A14" s="35" t="s">
        <v>122</v>
      </c>
      <c r="B14" s="35" t="s">
        <v>123</v>
      </c>
      <c r="C14" s="36" t="s">
        <v>124</v>
      </c>
      <c r="D14" s="37" t="s">
        <v>125</v>
      </c>
      <c r="E14" s="36" t="s">
        <v>94</v>
      </c>
      <c r="F14" s="35" t="s">
        <v>126</v>
      </c>
    </row>
    <row r="15" customFormat="false" ht="31.5" hidden="false" customHeight="true" outlineLevel="0" collapsed="false">
      <c r="A15" s="24" t="s">
        <v>31</v>
      </c>
      <c r="B15" s="24" t="s">
        <v>127</v>
      </c>
      <c r="C15" s="31" t="s">
        <v>128</v>
      </c>
      <c r="D15" s="38" t="s">
        <v>129</v>
      </c>
      <c r="E15" s="31" t="s">
        <v>94</v>
      </c>
      <c r="F15" s="24" t="s">
        <v>130</v>
      </c>
    </row>
    <row r="16" customFormat="false" ht="31.5" hidden="false" customHeight="true" outlineLevel="0" collapsed="false">
      <c r="A16" s="35" t="s">
        <v>34</v>
      </c>
      <c r="B16" s="35" t="s">
        <v>131</v>
      </c>
      <c r="C16" s="36" t="s">
        <v>132</v>
      </c>
      <c r="D16" s="37" t="s">
        <v>133</v>
      </c>
      <c r="E16" s="36" t="s">
        <v>94</v>
      </c>
      <c r="F16" s="35" t="s">
        <v>134</v>
      </c>
    </row>
    <row r="17" customFormat="false" ht="31.5" hidden="false" customHeight="true" outlineLevel="0" collapsed="false">
      <c r="A17" s="24" t="s">
        <v>135</v>
      </c>
      <c r="B17" s="24" t="s">
        <v>136</v>
      </c>
      <c r="C17" s="31" t="s">
        <v>124</v>
      </c>
      <c r="D17" s="38" t="s">
        <v>137</v>
      </c>
      <c r="E17" s="31" t="s">
        <v>94</v>
      </c>
      <c r="F17" s="24" t="s">
        <v>138</v>
      </c>
    </row>
    <row r="18" customFormat="false" ht="31.5" hidden="false" customHeight="true" outlineLevel="0" collapsed="false">
      <c r="A18" s="35" t="s">
        <v>139</v>
      </c>
      <c r="B18" s="35" t="s">
        <v>140</v>
      </c>
      <c r="C18" s="36" t="s">
        <v>141</v>
      </c>
      <c r="D18" s="37" t="s">
        <v>142</v>
      </c>
      <c r="E18" s="36" t="s">
        <v>94</v>
      </c>
      <c r="F18" s="35" t="s">
        <v>143</v>
      </c>
    </row>
  </sheetData>
  <mergeCells count="4">
    <mergeCell ref="A1:F1"/>
    <mergeCell ref="A2:F2"/>
    <mergeCell ref="A4:F4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2"/>
  </cols>
  <sheetData>
    <row r="1" customFormat="false" ht="48" hidden="false" customHeight="true" outlineLevel="0" collapsed="false">
      <c r="A1" s="18" t="s">
        <v>144</v>
      </c>
      <c r="B1" s="18"/>
      <c r="C1" s="18"/>
      <c r="D1" s="18"/>
      <c r="E1" s="18"/>
    </row>
    <row r="2" customFormat="false" ht="21.75" hidden="false" customHeight="true" outlineLevel="0" collapsed="false">
      <c r="A2" s="19" t="s">
        <v>145</v>
      </c>
      <c r="B2" s="19"/>
      <c r="C2" s="19"/>
      <c r="D2" s="19"/>
      <c r="E2" s="19"/>
    </row>
    <row r="4" customFormat="false" ht="21.75" hidden="false" customHeight="true" outlineLevel="0" collapsed="false">
      <c r="A4" s="27" t="s">
        <v>146</v>
      </c>
      <c r="B4" s="27"/>
      <c r="C4" s="27"/>
      <c r="D4" s="27"/>
      <c r="E4" s="27"/>
    </row>
    <row r="5" customFormat="false" ht="21.75" hidden="false" customHeight="true" outlineLevel="0" collapsed="false">
      <c r="A5" s="28" t="s">
        <v>147</v>
      </c>
      <c r="B5" s="28" t="s">
        <v>148</v>
      </c>
      <c r="C5" s="39" t="s">
        <v>84</v>
      </c>
      <c r="D5" s="39"/>
      <c r="E5" s="39"/>
    </row>
    <row r="6" customFormat="false" ht="27.75" hidden="false" customHeight="true" outlineLevel="0" collapsed="false">
      <c r="A6" s="5" t="s">
        <v>149</v>
      </c>
      <c r="B6" s="40" t="n">
        <v>380</v>
      </c>
      <c r="C6" s="6"/>
      <c r="D6" s="6"/>
      <c r="E6" s="6"/>
    </row>
    <row r="7" customFormat="false" ht="27.75" hidden="false" customHeight="true" outlineLevel="0" collapsed="false">
      <c r="A7" s="7" t="s">
        <v>150</v>
      </c>
      <c r="B7" s="40" t="n">
        <v>80</v>
      </c>
      <c r="C7" s="8"/>
      <c r="D7" s="8"/>
      <c r="E7" s="8"/>
    </row>
    <row r="8" customFormat="false" ht="27.75" hidden="false" customHeight="true" outlineLevel="0" collapsed="false">
      <c r="A8" s="5" t="s">
        <v>151</v>
      </c>
      <c r="B8" s="40" t="n">
        <v>22</v>
      </c>
      <c r="C8" s="6"/>
      <c r="D8" s="6"/>
      <c r="E8" s="6"/>
    </row>
    <row r="9" customFormat="false" ht="27.75" hidden="false" customHeight="true" outlineLevel="0" collapsed="false">
      <c r="A9" s="7" t="s">
        <v>152</v>
      </c>
      <c r="B9" s="40" t="n">
        <v>50</v>
      </c>
      <c r="C9" s="8"/>
      <c r="D9" s="8"/>
      <c r="E9" s="8"/>
    </row>
    <row r="10" customFormat="false" ht="27.75" hidden="false" customHeight="true" outlineLevel="0" collapsed="false">
      <c r="A10" s="5" t="s">
        <v>153</v>
      </c>
      <c r="B10" s="41" t="n">
        <v>0.6</v>
      </c>
      <c r="C10" s="6"/>
      <c r="D10" s="6"/>
      <c r="E10" s="6"/>
    </row>
    <row r="11" customFormat="false" ht="27.75" hidden="false" customHeight="true" outlineLevel="0" collapsed="false">
      <c r="A11" s="7" t="s">
        <v>154</v>
      </c>
      <c r="B11" s="40" t="n">
        <v>400</v>
      </c>
      <c r="C11" s="8"/>
      <c r="D11" s="8"/>
      <c r="E11" s="8"/>
    </row>
    <row r="12" customFormat="false" ht="27.75" hidden="false" customHeight="true" outlineLevel="0" collapsed="false">
      <c r="A12" s="5" t="s">
        <v>155</v>
      </c>
      <c r="B12" s="40" t="n">
        <v>8</v>
      </c>
      <c r="C12" s="6"/>
      <c r="D12" s="6"/>
      <c r="E12" s="6"/>
    </row>
    <row r="14" customFormat="false" ht="21.75" hidden="false" customHeight="true" outlineLevel="0" collapsed="false">
      <c r="A14" s="42" t="s">
        <v>156</v>
      </c>
      <c r="B14" s="42"/>
      <c r="C14" s="42"/>
      <c r="D14" s="42"/>
      <c r="E14" s="42"/>
    </row>
    <row r="15" customFormat="false" ht="21.75" hidden="false" customHeight="true" outlineLevel="0" collapsed="false">
      <c r="A15" s="28" t="s">
        <v>157</v>
      </c>
      <c r="B15" s="28" t="s">
        <v>158</v>
      </c>
      <c r="C15" s="28" t="s">
        <v>159</v>
      </c>
      <c r="D15" s="28" t="s">
        <v>160</v>
      </c>
      <c r="E15" s="28" t="s">
        <v>121</v>
      </c>
    </row>
    <row r="16" customFormat="false" ht="27.75" hidden="false" customHeight="true" outlineLevel="0" collapsed="false">
      <c r="A16" s="21" t="s">
        <v>161</v>
      </c>
      <c r="B16" s="43" t="n">
        <f aca="false">B6*B7</f>
        <v>30400</v>
      </c>
      <c r="C16" s="43" t="n">
        <f aca="false">B16*B8</f>
        <v>668800</v>
      </c>
      <c r="D16" s="43" t="n">
        <f aca="false">C16*12</f>
        <v>8025600</v>
      </c>
      <c r="E16" s="21" t="s">
        <v>162</v>
      </c>
    </row>
    <row r="17" customFormat="false" ht="27.75" hidden="false" customHeight="true" outlineLevel="0" collapsed="false">
      <c r="A17" s="24" t="s">
        <v>163</v>
      </c>
      <c r="B17" s="44" t="n">
        <f aca="false">B9*B7*B10</f>
        <v>2400</v>
      </c>
      <c r="C17" s="44" t="n">
        <f aca="false">B17*B8</f>
        <v>52800</v>
      </c>
      <c r="D17" s="44" t="n">
        <f aca="false">C17*12</f>
        <v>633600</v>
      </c>
      <c r="E17" s="24" t="s">
        <v>164</v>
      </c>
    </row>
    <row r="18" customFormat="false" ht="27.75" hidden="false" customHeight="true" outlineLevel="0" collapsed="false">
      <c r="A18" s="21" t="s">
        <v>165</v>
      </c>
      <c r="B18" s="43" t="n">
        <f aca="false">B11*B12</f>
        <v>3200</v>
      </c>
      <c r="C18" s="43" t="n">
        <f aca="false">B18*B8</f>
        <v>70400</v>
      </c>
      <c r="D18" s="43" t="n">
        <f aca="false">C18*12</f>
        <v>844800</v>
      </c>
      <c r="E18" s="21" t="s">
        <v>166</v>
      </c>
    </row>
    <row r="19" customFormat="false" ht="27.75" hidden="false" customHeight="true" outlineLevel="0" collapsed="false">
      <c r="A19" s="45" t="s">
        <v>167</v>
      </c>
      <c r="B19" s="46" t="n">
        <f aca="false">B16+B17+B18</f>
        <v>36000</v>
      </c>
      <c r="C19" s="46" t="n">
        <f aca="false">C16+C17+C18</f>
        <v>792000</v>
      </c>
      <c r="D19" s="46" t="n">
        <f aca="false">D16+D17+D18</f>
        <v>9504000</v>
      </c>
      <c r="E19" s="47" t="s">
        <v>168</v>
      </c>
    </row>
    <row r="21" customFormat="false" ht="27.75" hidden="false" customHeight="true" outlineLevel="0" collapsed="false">
      <c r="A21" s="48" t="s">
        <v>169</v>
      </c>
      <c r="B21" s="48"/>
      <c r="C21" s="48"/>
      <c r="D21" s="48"/>
      <c r="E21" s="48"/>
    </row>
  </sheetData>
  <mergeCells count="13">
    <mergeCell ref="A1:E1"/>
    <mergeCell ref="A2:E2"/>
    <mergeCell ref="A4:E4"/>
    <mergeCell ref="C5:E5"/>
    <mergeCell ref="C6:E6"/>
    <mergeCell ref="C7:E7"/>
    <mergeCell ref="C8:E8"/>
    <mergeCell ref="C9:E9"/>
    <mergeCell ref="C10:E10"/>
    <mergeCell ref="C11:E11"/>
    <mergeCell ref="C12:E12"/>
    <mergeCell ref="A14:E14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2026-04-23T04:50:06Z</dcterms:created>
  <dc:creator>openpyxl</dc:creator>
  <dc:description/>
  <dc:language>en-US</dc:language>
  <cp:lastModifiedBy/>
  <dcterms:modified xsi:type="dcterms:W3CDTF">2026-04-23T04:50:06Z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